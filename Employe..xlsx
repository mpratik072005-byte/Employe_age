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analys\"/>
    </mc:Choice>
  </mc:AlternateContent>
  <xr:revisionPtr revIDLastSave="0" documentId="13_ncr:1_{65A4BB08-6A32-4842-AB7D-D96311649270}" xr6:coauthVersionLast="47" xr6:coauthVersionMax="47" xr10:uidLastSave="{00000000-0000-0000-0000-000000000000}"/>
  <bookViews>
    <workbookView xWindow="-108" yWindow="-108" windowWidth="23256" windowHeight="13896" activeTab="1" xr2:uid="{ABDDAB40-7D04-41AC-8A62-DEBB0D2443F5}"/>
  </bookViews>
  <sheets>
    <sheet name="Employ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C10" i="2"/>
  <c r="C9" i="2"/>
  <c r="C8" i="2"/>
  <c r="C7" i="2"/>
  <c r="C6" i="2"/>
  <c r="C5" i="2"/>
  <c r="C4" i="2"/>
  <c r="C3" i="2"/>
  <c r="C2" i="2"/>
  <c r="I6" i="2" s="1"/>
  <c r="D17" i="1"/>
  <c r="C3" i="1"/>
  <c r="C4" i="1"/>
  <c r="C5" i="1"/>
  <c r="C6" i="1"/>
  <c r="C7" i="1"/>
  <c r="C8" i="1"/>
  <c r="C9" i="1"/>
  <c r="C10" i="1"/>
  <c r="C2" i="1"/>
  <c r="D16" i="1"/>
  <c r="D14" i="1"/>
  <c r="D13" i="1"/>
  <c r="D12" i="1"/>
</calcChain>
</file>

<file path=xl/sharedStrings.xml><?xml version="1.0" encoding="utf-8"?>
<sst xmlns="http://schemas.openxmlformats.org/spreadsheetml/2006/main" count="62" uniqueCount="31">
  <si>
    <t>empid</t>
  </si>
  <si>
    <t>emp name</t>
  </si>
  <si>
    <t>age</t>
  </si>
  <si>
    <t>salary</t>
  </si>
  <si>
    <t>DOB</t>
  </si>
  <si>
    <t>rohan</t>
  </si>
  <si>
    <t xml:space="preserve">tine </t>
  </si>
  <si>
    <t>mine</t>
  </si>
  <si>
    <t>sunita</t>
  </si>
  <si>
    <t>yash</t>
  </si>
  <si>
    <t>suyash</t>
  </si>
  <si>
    <t>rshul</t>
  </si>
  <si>
    <t>ruhal</t>
  </si>
  <si>
    <t>City</t>
  </si>
  <si>
    <t>indore</t>
  </si>
  <si>
    <t>mumbai</t>
  </si>
  <si>
    <t>pune</t>
  </si>
  <si>
    <t xml:space="preserve">pune </t>
  </si>
  <si>
    <t>Total Salary</t>
  </si>
  <si>
    <t xml:space="preserve">          -</t>
  </si>
  <si>
    <t>use function count()</t>
  </si>
  <si>
    <t>NO. of employes</t>
  </si>
  <si>
    <t>use formula</t>
  </si>
  <si>
    <t>Average salary</t>
  </si>
  <si>
    <t xml:space="preserve">using function </t>
  </si>
  <si>
    <t>By using Formula</t>
  </si>
  <si>
    <t>By using Function</t>
  </si>
  <si>
    <t>Find the sum of salary of those employees whose city=mumbai.</t>
  </si>
  <si>
    <t>Find the sum of salaryof thoes employes whoes age is &gt;25</t>
  </si>
  <si>
    <t xml:space="preserve">            Q.1</t>
  </si>
  <si>
    <t xml:space="preserve">            Q.2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</si>
</sst>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1" applyNumberFormat="1" applyFont="1" applyBorder="1"/>
    <xf numFmtId="0" fontId="0" fillId="0" borderId="1" xfId="1" applyNumberFormat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7" xfId="0" applyNumberFormat="1" applyBorder="1"/>
    <xf numFmtId="14" fontId="0" fillId="0" borderId="8" xfId="0" applyNumberFormat="1" applyBorder="1"/>
    <xf numFmtId="0" fontId="0" fillId="2" borderId="2" xfId="0" applyFill="1" applyBorder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59F5-F001-4179-8835-85E926215184}">
  <dimension ref="A1:F17"/>
  <sheetViews>
    <sheetView zoomScale="137" workbookViewId="0">
      <selection sqref="A1:F10"/>
    </sheetView>
  </sheetViews>
  <sheetFormatPr defaultRowHeight="14.4" x14ac:dyDescent="0.3"/>
  <cols>
    <col min="2" max="2" width="17.5546875" bestFit="1" customWidth="1"/>
    <col min="3" max="3" width="15.21875" bestFit="1" customWidth="1"/>
    <col min="5" max="5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6" x14ac:dyDescent="0.3">
      <c r="A2">
        <v>101</v>
      </c>
      <c r="B2" t="s">
        <v>5</v>
      </c>
      <c r="C2" s="3">
        <f ca="1">YEAR(TODAY())-YEAR(E2)</f>
        <v>27</v>
      </c>
      <c r="D2">
        <v>45000.9</v>
      </c>
      <c r="E2" s="1">
        <v>36282</v>
      </c>
      <c r="F2" t="s">
        <v>14</v>
      </c>
    </row>
    <row r="3" spans="1:6" x14ac:dyDescent="0.3">
      <c r="A3">
        <v>102</v>
      </c>
      <c r="B3" t="s">
        <v>6</v>
      </c>
      <c r="C3" s="3">
        <f t="shared" ref="C3:C10" ca="1" si="0">YEAR(TODAY())-YEAR(E3)</f>
        <v>25</v>
      </c>
      <c r="D3">
        <v>56000</v>
      </c>
      <c r="E3" s="1">
        <v>36936</v>
      </c>
      <c r="F3" t="s">
        <v>15</v>
      </c>
    </row>
    <row r="4" spans="1:6" x14ac:dyDescent="0.3">
      <c r="A4">
        <v>103</v>
      </c>
      <c r="B4" t="s">
        <v>7</v>
      </c>
      <c r="C4" s="3">
        <f t="shared" ca="1" si="0"/>
        <v>21</v>
      </c>
      <c r="D4">
        <v>23000</v>
      </c>
      <c r="E4" s="1">
        <v>38709</v>
      </c>
      <c r="F4" t="s">
        <v>16</v>
      </c>
    </row>
    <row r="5" spans="1:6" x14ac:dyDescent="0.3">
      <c r="A5">
        <v>104</v>
      </c>
      <c r="B5" t="s">
        <v>8</v>
      </c>
      <c r="C5" s="3">
        <f t="shared" ca="1" si="0"/>
        <v>24</v>
      </c>
      <c r="D5">
        <v>34000</v>
      </c>
      <c r="E5" s="1">
        <v>37364</v>
      </c>
      <c r="F5" t="s">
        <v>15</v>
      </c>
    </row>
    <row r="6" spans="1:6" x14ac:dyDescent="0.3">
      <c r="A6">
        <v>105</v>
      </c>
      <c r="B6" t="s">
        <v>9</v>
      </c>
      <c r="C6" s="3">
        <f t="shared" ca="1" si="0"/>
        <v>20</v>
      </c>
      <c r="D6">
        <v>51000</v>
      </c>
      <c r="E6" s="1">
        <v>38795</v>
      </c>
      <c r="F6" t="s">
        <v>17</v>
      </c>
    </row>
    <row r="7" spans="1:6" x14ac:dyDescent="0.3">
      <c r="A7">
        <v>106</v>
      </c>
      <c r="B7" t="s">
        <v>10</v>
      </c>
      <c r="C7" s="3">
        <f t="shared" ca="1" si="0"/>
        <v>28</v>
      </c>
      <c r="D7">
        <v>41000</v>
      </c>
      <c r="E7" s="1">
        <v>36064</v>
      </c>
      <c r="F7" t="s">
        <v>14</v>
      </c>
    </row>
    <row r="8" spans="1:6" x14ac:dyDescent="0.3">
      <c r="A8">
        <v>107</v>
      </c>
      <c r="B8" t="s">
        <v>11</v>
      </c>
      <c r="C8" s="3">
        <f t="shared" ca="1" si="0"/>
        <v>21</v>
      </c>
      <c r="D8">
        <v>65000</v>
      </c>
      <c r="E8" s="1">
        <v>38477</v>
      </c>
      <c r="F8" t="s">
        <v>17</v>
      </c>
    </row>
    <row r="9" spans="1:6" x14ac:dyDescent="0.3">
      <c r="A9">
        <v>108</v>
      </c>
      <c r="B9" t="s">
        <v>9</v>
      </c>
      <c r="C9" s="3">
        <f t="shared" ca="1" si="0"/>
        <v>26</v>
      </c>
      <c r="D9">
        <v>50000</v>
      </c>
      <c r="E9" s="1">
        <v>36656</v>
      </c>
      <c r="F9" t="s">
        <v>15</v>
      </c>
    </row>
    <row r="10" spans="1:6" x14ac:dyDescent="0.3">
      <c r="A10">
        <v>109</v>
      </c>
      <c r="B10" t="s">
        <v>12</v>
      </c>
      <c r="C10" s="3">
        <f t="shared" ca="1" si="0"/>
        <v>21</v>
      </c>
      <c r="D10">
        <v>54000</v>
      </c>
      <c r="E10" s="1">
        <v>38477</v>
      </c>
      <c r="F10" t="s">
        <v>14</v>
      </c>
    </row>
    <row r="12" spans="1:6" x14ac:dyDescent="0.3">
      <c r="B12" t="s">
        <v>25</v>
      </c>
      <c r="C12" t="s">
        <v>18</v>
      </c>
      <c r="D12">
        <f>D2+D3+D4+D5+D6+D7+D8+D9+D10</f>
        <v>419000.9</v>
      </c>
    </row>
    <row r="13" spans="1:6" x14ac:dyDescent="0.3">
      <c r="B13" t="s">
        <v>26</v>
      </c>
      <c r="C13" t="s">
        <v>19</v>
      </c>
      <c r="D13">
        <f>SUM(D2:D10)</f>
        <v>419000.9</v>
      </c>
    </row>
    <row r="14" spans="1:6" x14ac:dyDescent="0.3">
      <c r="B14" t="s">
        <v>20</v>
      </c>
      <c r="C14" t="s">
        <v>21</v>
      </c>
      <c r="D14">
        <f>COUNT(D2:D10)</f>
        <v>9</v>
      </c>
    </row>
    <row r="16" spans="1:6" x14ac:dyDescent="0.3">
      <c r="B16" t="s">
        <v>22</v>
      </c>
      <c r="C16" t="s">
        <v>23</v>
      </c>
      <c r="D16">
        <f>D12/D14</f>
        <v>46555.655555555561</v>
      </c>
    </row>
    <row r="17" spans="2:4" x14ac:dyDescent="0.3">
      <c r="B17" t="s">
        <v>24</v>
      </c>
      <c r="C17" t="s">
        <v>23</v>
      </c>
      <c r="D17" s="2">
        <f>AVERAGE(D2:D10)</f>
        <v>46555.655555555561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3B05-3576-4E8B-9075-B78B4A5689D9}">
  <dimension ref="A1:I10"/>
  <sheetViews>
    <sheetView tabSelected="1" zoomScale="148" zoomScaleNormal="120" workbookViewId="0">
      <selection activeCell="J9" sqref="J9"/>
    </sheetView>
  </sheetViews>
  <sheetFormatPr defaultRowHeight="14.4" x14ac:dyDescent="0.3"/>
  <cols>
    <col min="2" max="2" width="11.5546875" customWidth="1"/>
    <col min="4" max="4" width="9" bestFit="1" customWidth="1"/>
    <col min="5" max="5" width="10.77734375" bestFit="1" customWidth="1"/>
    <col min="6" max="6" width="10.44140625" bestFit="1" customWidth="1"/>
  </cols>
  <sheetData>
    <row r="1" spans="1:9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13</v>
      </c>
    </row>
    <row r="2" spans="1:9" x14ac:dyDescent="0.3">
      <c r="A2" s="6">
        <v>101</v>
      </c>
      <c r="B2" s="10" t="s">
        <v>5</v>
      </c>
      <c r="C2" s="4">
        <f ca="1">YEAR(TODAY())-YEAR(E2)</f>
        <v>27</v>
      </c>
      <c r="D2" s="10">
        <v>45000.9</v>
      </c>
      <c r="E2" s="12">
        <v>36282</v>
      </c>
      <c r="F2" s="7" t="s">
        <v>14</v>
      </c>
      <c r="H2" t="s">
        <v>29</v>
      </c>
      <c r="I2" t="s">
        <v>27</v>
      </c>
    </row>
    <row r="3" spans="1:9" x14ac:dyDescent="0.3">
      <c r="A3" s="6">
        <v>102</v>
      </c>
      <c r="B3" s="10" t="s">
        <v>6</v>
      </c>
      <c r="C3" s="4">
        <f t="shared" ref="C3:C10" ca="1" si="0">YEAR(TODAY())-YEAR(E3)</f>
        <v>25</v>
      </c>
      <c r="D3" s="10">
        <v>56000</v>
      </c>
      <c r="E3" s="12">
        <v>36936</v>
      </c>
      <c r="F3" s="7" t="s">
        <v>15</v>
      </c>
      <c r="I3" s="15">
        <f>SUMIF(F2:F10,"mumbai",D2:D10)</f>
        <v>140000</v>
      </c>
    </row>
    <row r="4" spans="1:9" x14ac:dyDescent="0.3">
      <c r="A4" s="6">
        <v>103</v>
      </c>
      <c r="B4" s="10" t="s">
        <v>7</v>
      </c>
      <c r="C4" s="4">
        <f t="shared" ca="1" si="0"/>
        <v>21</v>
      </c>
      <c r="D4" s="10">
        <v>23000</v>
      </c>
      <c r="E4" s="12">
        <v>38709</v>
      </c>
      <c r="F4" s="7" t="s">
        <v>16</v>
      </c>
    </row>
    <row r="5" spans="1:9" x14ac:dyDescent="0.3">
      <c r="A5" s="6">
        <v>104</v>
      </c>
      <c r="B5" s="10" t="s">
        <v>8</v>
      </c>
      <c r="C5" s="4">
        <f t="shared" ca="1" si="0"/>
        <v>24</v>
      </c>
      <c r="D5" s="10">
        <v>34000</v>
      </c>
      <c r="E5" s="12">
        <v>37364</v>
      </c>
      <c r="F5" s="7" t="s">
        <v>15</v>
      </c>
      <c r="H5" t="s">
        <v>30</v>
      </c>
      <c r="I5" t="s">
        <v>28</v>
      </c>
    </row>
    <row r="6" spans="1:9" x14ac:dyDescent="0.3">
      <c r="A6" s="6">
        <v>105</v>
      </c>
      <c r="B6" s="10" t="s">
        <v>9</v>
      </c>
      <c r="C6" s="4">
        <f t="shared" ca="1" si="0"/>
        <v>20</v>
      </c>
      <c r="D6" s="10">
        <v>51000</v>
      </c>
      <c r="E6" s="12">
        <v>38795</v>
      </c>
      <c r="F6" s="7" t="s">
        <v>17</v>
      </c>
      <c r="I6" s="15">
        <f ca="1">SUMIF(C2:C10,"&gt;25",D2:D10)</f>
        <v>136000.9</v>
      </c>
    </row>
    <row r="7" spans="1:9" x14ac:dyDescent="0.3">
      <c r="A7" s="6">
        <v>106</v>
      </c>
      <c r="B7" s="10" t="s">
        <v>10</v>
      </c>
      <c r="C7" s="4">
        <f t="shared" ca="1" si="0"/>
        <v>28</v>
      </c>
      <c r="D7" s="10">
        <v>41000</v>
      </c>
      <c r="E7" s="12">
        <v>36064</v>
      </c>
      <c r="F7" s="7" t="s">
        <v>14</v>
      </c>
    </row>
    <row r="8" spans="1:9" x14ac:dyDescent="0.3">
      <c r="A8" s="6">
        <v>107</v>
      </c>
      <c r="B8" s="10" t="s">
        <v>11</v>
      </c>
      <c r="C8" s="4">
        <f t="shared" ca="1" si="0"/>
        <v>21</v>
      </c>
      <c r="D8" s="10">
        <v>65000</v>
      </c>
      <c r="E8" s="12">
        <v>38477</v>
      </c>
      <c r="F8" s="7" t="s">
        <v>17</v>
      </c>
    </row>
    <row r="9" spans="1:9" x14ac:dyDescent="0.3">
      <c r="A9" s="6">
        <v>108</v>
      </c>
      <c r="B9" s="10" t="s">
        <v>9</v>
      </c>
      <c r="C9" s="4">
        <f t="shared" ca="1" si="0"/>
        <v>26</v>
      </c>
      <c r="D9" s="10">
        <v>50000</v>
      </c>
      <c r="E9" s="12">
        <v>36656</v>
      </c>
      <c r="F9" s="7" t="s">
        <v>15</v>
      </c>
    </row>
    <row r="10" spans="1:9" x14ac:dyDescent="0.3">
      <c r="A10" s="8">
        <v>109</v>
      </c>
      <c r="B10" s="11" t="s">
        <v>12</v>
      </c>
      <c r="C10" s="5">
        <f t="shared" ca="1" si="0"/>
        <v>21</v>
      </c>
      <c r="D10" s="11">
        <v>54000</v>
      </c>
      <c r="E10" s="13">
        <v>38477</v>
      </c>
      <c r="F10" s="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pratikmore07@outlook.com</dc:creator>
  <cp:lastModifiedBy>pratikmore07@outlook.com</cp:lastModifiedBy>
  <dcterms:created xsi:type="dcterms:W3CDTF">2026-06-10T23:09:54Z</dcterms:created>
  <dcterms:modified xsi:type="dcterms:W3CDTF">2026-06-13T02:40:19Z</dcterms:modified>
</cp:coreProperties>
</file>